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W84\Downloads\manutencao_equipamentos-main-main\"/>
    </mc:Choice>
  </mc:AlternateContent>
  <xr:revisionPtr revIDLastSave="0" documentId="13_ncr:1_{675C2D67-058F-4A60-A4EB-E155CB326A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0" i="1"/>
  <c r="K21" i="1"/>
  <c r="K22" i="1"/>
  <c r="K23" i="1"/>
  <c r="K19" i="1"/>
  <c r="K24" i="1"/>
  <c r="K25" i="1"/>
  <c r="K26" i="1"/>
  <c r="J26" i="1"/>
  <c r="J27" i="1"/>
  <c r="J28" i="1"/>
  <c r="J29" i="1"/>
  <c r="L25" i="1"/>
  <c r="L26" i="1"/>
  <c r="L27" i="1"/>
  <c r="L28" i="1"/>
  <c r="L29" i="1"/>
  <c r="J25" i="1"/>
  <c r="L24" i="1"/>
  <c r="J24" i="1"/>
  <c r="L19" i="1"/>
  <c r="J19" i="1"/>
  <c r="L22" i="1"/>
  <c r="J22" i="1"/>
  <c r="L23" i="1"/>
  <c r="J2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0" i="1"/>
  <c r="L21" i="1"/>
  <c r="L3" i="1"/>
  <c r="L2" i="1"/>
  <c r="J3" i="1"/>
  <c r="J4" i="1"/>
  <c r="J5" i="1"/>
  <c r="J6" i="1"/>
  <c r="J7" i="1"/>
  <c r="J11" i="1"/>
  <c r="J12" i="1"/>
  <c r="J8" i="1"/>
  <c r="J9" i="1"/>
  <c r="J10" i="1"/>
  <c r="J13" i="1"/>
  <c r="J14" i="1"/>
  <c r="J16" i="1"/>
  <c r="J17" i="1"/>
  <c r="J18" i="1"/>
  <c r="J20" i="1"/>
  <c r="J21" i="1"/>
  <c r="J2" i="1"/>
</calcChain>
</file>

<file path=xl/sharedStrings.xml><?xml version="1.0" encoding="utf-8"?>
<sst xmlns="http://schemas.openxmlformats.org/spreadsheetml/2006/main" count="141" uniqueCount="62">
  <si>
    <t>Nº</t>
  </si>
  <si>
    <t>Empresa</t>
  </si>
  <si>
    <t>Local</t>
  </si>
  <si>
    <t>Operador</t>
  </si>
  <si>
    <t>Equipamento</t>
  </si>
  <si>
    <t>Identificação</t>
  </si>
  <si>
    <t>Data Início</t>
  </si>
  <si>
    <t>Data Fim</t>
  </si>
  <si>
    <t>Causa</t>
  </si>
  <si>
    <t>Tempo de Parada (h)</t>
  </si>
  <si>
    <t>Status</t>
  </si>
  <si>
    <t>Parada_dias_horas</t>
  </si>
  <si>
    <t>VIX</t>
  </si>
  <si>
    <t>AGR Cabiúnas</t>
  </si>
  <si>
    <t>Paulo César</t>
  </si>
  <si>
    <t>Empilhadeira 2.5 ton</t>
  </si>
  <si>
    <t>EGC 280</t>
  </si>
  <si>
    <t>Freio de mão travado</t>
  </si>
  <si>
    <t>Jocimar</t>
  </si>
  <si>
    <t>Empilhadeira 4 ton</t>
  </si>
  <si>
    <t>EGC 401</t>
  </si>
  <si>
    <t>Cabo de bateria com folga</t>
  </si>
  <si>
    <t>Manutenção preventiva</t>
  </si>
  <si>
    <t>Edson Matias</t>
  </si>
  <si>
    <t>EGC 281</t>
  </si>
  <si>
    <t>Equipamento não engatava marcha ré</t>
  </si>
  <si>
    <t>Pátio de Valorização de Resíduos</t>
  </si>
  <si>
    <t>Retroescavadeira</t>
  </si>
  <si>
    <t>MMG2401</t>
  </si>
  <si>
    <t>Falha mecânica; encaminhamento para manutenção</t>
  </si>
  <si>
    <t>Manipuladora</t>
  </si>
  <si>
    <t>MMG2400</t>
  </si>
  <si>
    <t>Aperto de parafuso na garra</t>
  </si>
  <si>
    <t>MMG2404</t>
  </si>
  <si>
    <t>Substituição de peças</t>
  </si>
  <si>
    <t>TIMS</t>
  </si>
  <si>
    <t>Empilhadeira</t>
  </si>
  <si>
    <t>EGC 411</t>
  </si>
  <si>
    <t>Problema no acelerador</t>
  </si>
  <si>
    <t>Afrouxamento de parafusos; pneu furado</t>
  </si>
  <si>
    <t>MMG2403</t>
  </si>
  <si>
    <t>Lavagem e manutenção preventiva</t>
  </si>
  <si>
    <t>Aperto de parafusos; manutenção preventiva</t>
  </si>
  <si>
    <t>Substituição de solenoide</t>
  </si>
  <si>
    <t>Vazamento de óleo durante carregamento; acionado ramal de emergência</t>
  </si>
  <si>
    <t>Substituição de mangueira hidráulica</t>
  </si>
  <si>
    <t>Carreta dedicada</t>
  </si>
  <si>
    <t>FROTA 257</t>
  </si>
  <si>
    <t>Problema no ar condicionado (impactou carregamentos de 12 a 14/08)</t>
  </si>
  <si>
    <t>Mau funcionamento do aquecedor; troca da garra programada</t>
  </si>
  <si>
    <t>Área 400 Depósito 421</t>
  </si>
  <si>
    <t>Empilhadeira elétrica</t>
  </si>
  <si>
    <t>EMP 202</t>
  </si>
  <si>
    <t>Quebra de parafuso da roda</t>
  </si>
  <si>
    <t>Problemas no giro</t>
  </si>
  <si>
    <t>Problema elétrico (solenoide)</t>
  </si>
  <si>
    <t xml:space="preserve">Vazamento no radiador e condensadora do ar condicionado danificado </t>
  </si>
  <si>
    <t>Substituição das mangueiras hidráulicas da garra</t>
  </si>
  <si>
    <t>EDC-711</t>
  </si>
  <si>
    <t>Teste de carga</t>
  </si>
  <si>
    <t>Reparo na bomba injetora da manipuladora</t>
  </si>
  <si>
    <t xml:space="preserve">Principio vazamento de óleo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</si>
</sst>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164" formatCode="dd/mm/yyyy\ hh:mm:ss"/>
    </dxf>
    <dxf>
      <numFmt numFmtId="164" formatCode="dd/mm/yyyy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L29">
  <autoFilter ref="A1:L29" xr:uid="{00000000-0009-0000-0100-000001000000}"/>
  <sortState xmlns:xlrd2="http://schemas.microsoft.com/office/spreadsheetml/2017/richdata2" ref="A2:L29">
    <sortCondition ref="G1:G29"/>
  </sortState>
  <tableColumns count="12">
    <tableColumn id="1" xr3:uid="{00000000-0010-0000-0000-000001000000}" name="Nº"/>
    <tableColumn id="2" xr3:uid="{00000000-0010-0000-0000-000002000000}" name="Empresa"/>
    <tableColumn id="3" xr3:uid="{00000000-0010-0000-0000-000003000000}" name="Local"/>
    <tableColumn id="4" xr3:uid="{00000000-0010-0000-0000-000004000000}" name="Operador"/>
    <tableColumn id="5" xr3:uid="{00000000-0010-0000-0000-000005000000}" name="Equipamento"/>
    <tableColumn id="6" xr3:uid="{00000000-0010-0000-0000-000006000000}" name="Identificação"/>
    <tableColumn id="7" xr3:uid="{00000000-0010-0000-0000-000007000000}" name="Data Início" dataDxfId="2"/>
    <tableColumn id="8" xr3:uid="{00000000-0010-0000-0000-000008000000}" name="Data Fim" dataDxfId="1"/>
    <tableColumn id="9" xr3:uid="{00000000-0010-0000-0000-000009000000}" name="Causa"/>
    <tableColumn id="10" xr3:uid="{00000000-0010-0000-0000-00000A000000}" name="Tempo de Parada (h)">
      <calculatedColumnFormula>ROUND((H2-G2)*24, 2)</calculatedColumnFormula>
    </tableColumn>
    <tableColumn id="11" xr3:uid="{00000000-0010-0000-0000-00000B000000}" name="Status"/>
    <tableColumn id="13" xr3:uid="{7F66C441-3EDF-4C46-A900-59B4CA4378CA}" name="Parada_dias_horas" dataDxfId="0">
      <calculatedColumnFormula array="1">INT(H2-G2) &amp; " dias e " &amp; _xludf.TEXT(H2-G2,"h") &amp; " horas"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B16" workbookViewId="0">
      <selection activeCell="G30" sqref="G30"/>
    </sheetView>
  </sheetViews>
  <sheetFormatPr defaultRowHeight="15" customHeight="1" x14ac:dyDescent="0.25"/>
  <cols>
    <col min="1" max="1" width="5.42578125" bestFit="1" customWidth="1"/>
    <col min="2" max="2" width="10.5703125" bestFit="1" customWidth="1"/>
    <col min="3" max="3" width="30.5703125" bestFit="1" customWidth="1"/>
    <col min="4" max="4" width="12.5703125" bestFit="1" customWidth="1"/>
    <col min="5" max="5" width="20.140625" bestFit="1" customWidth="1"/>
    <col min="6" max="6" width="16.85546875" customWidth="1"/>
    <col min="7" max="8" width="19.85546875" bestFit="1" customWidth="1"/>
    <col min="9" max="9" width="68.28515625" bestFit="1" customWidth="1"/>
    <col min="10" max="10" width="18.5703125" bestFit="1" customWidth="1"/>
    <col min="11" max="11" width="8.5703125" bestFit="1" customWidth="1"/>
    <col min="12" max="12" width="2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45782.375</v>
      </c>
      <c r="H2" s="2">
        <v>45782.625</v>
      </c>
      <c r="I2" t="s">
        <v>17</v>
      </c>
      <c r="J2">
        <f>ROUND((H2-G2)*24, 2)</f>
        <v>6</v>
      </c>
      <c r="K2" t="str">
        <f>IF(H2="","Aberto","Fechado")</f>
        <v>Fechado</v>
      </c>
      <c r="L2" s="3" t="str">
        <f>IF(OR(ISBLANK(G2),ISBLANK(H2)),"",IF(H2&lt;G2,"Data inválida",
INT(H2-G2) &amp; " dias e " &amp; TEXT(H2-G2,"h") &amp; " horas"))</f>
        <v>0 dias e 6 horas</v>
      </c>
    </row>
    <row r="3" spans="1:12" x14ac:dyDescent="0.25">
      <c r="A3">
        <v>2</v>
      </c>
      <c r="B3" t="s">
        <v>12</v>
      </c>
      <c r="C3" t="s">
        <v>13</v>
      </c>
      <c r="D3" t="s">
        <v>18</v>
      </c>
      <c r="E3" t="s">
        <v>19</v>
      </c>
      <c r="F3" t="s">
        <v>20</v>
      </c>
      <c r="G3" s="2">
        <v>45789.354166666664</v>
      </c>
      <c r="H3" s="2">
        <v>45790.409722222219</v>
      </c>
      <c r="I3" t="s">
        <v>21</v>
      </c>
      <c r="J3">
        <f>ROUND((H3-G3)*24, 2)</f>
        <v>25.33</v>
      </c>
      <c r="K3" t="str">
        <f>IF(H3="","Aberto","Fechado")</f>
        <v>Fechado</v>
      </c>
      <c r="L3" s="3" t="str">
        <f>IF(OR(ISBLANK(G3),ISBLANK(H3)),"",IF(H3&lt;G3,"Data inválida",
INT(H3-G3) &amp; " dias e " &amp; TEXT(H3-G3,"h") &amp; " horas"))</f>
        <v>1 dias e 1 horas</v>
      </c>
    </row>
    <row r="4" spans="1:12" x14ac:dyDescent="0.25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s="2">
        <v>45793.640972222223</v>
      </c>
      <c r="H4" s="2">
        <v>45797</v>
      </c>
      <c r="I4" t="s">
        <v>22</v>
      </c>
      <c r="J4">
        <f>ROUND((H4-G4)*24, 2)</f>
        <v>80.62</v>
      </c>
      <c r="K4" t="str">
        <f>IF(H4="","Aberto","Fechado")</f>
        <v>Fechado</v>
      </c>
      <c r="L4" s="3" t="str">
        <f>IF(OR(ISBLANK(G4),ISBLANK(H4)),"",IF(H4&lt;G4,"Data inválida",
INT(H4-G4) &amp; " dias e " &amp; TEXT(H4-G4,"h") &amp; " horas"))</f>
        <v>3 dias e 8 horas</v>
      </c>
    </row>
    <row r="5" spans="1:12" x14ac:dyDescent="0.25">
      <c r="A5">
        <v>4</v>
      </c>
      <c r="B5" t="s">
        <v>12</v>
      </c>
      <c r="C5" t="s">
        <v>13</v>
      </c>
      <c r="D5" t="s">
        <v>23</v>
      </c>
      <c r="E5" t="s">
        <v>15</v>
      </c>
      <c r="F5" t="s">
        <v>24</v>
      </c>
      <c r="G5" s="2">
        <v>45797.640972222223</v>
      </c>
      <c r="H5" s="2">
        <v>45797.677083333336</v>
      </c>
      <c r="I5" t="s">
        <v>25</v>
      </c>
      <c r="J5">
        <f>ROUND((H5-G5)*24, 2)</f>
        <v>0.87</v>
      </c>
      <c r="K5" t="str">
        <f>IF(H5="","Aberto","Fechado")</f>
        <v>Fechado</v>
      </c>
      <c r="L5" s="3" t="str">
        <f>IF(OR(ISBLANK(G5),ISBLANK(H5)),"",IF(H5&lt;G5,"Data inválida",
INT(H5-G5) &amp; " dias e " &amp; TEXT(H5-G5,"h") &amp; " horas"))</f>
        <v>0 dias e 0 horas</v>
      </c>
    </row>
    <row r="6" spans="1:12" x14ac:dyDescent="0.25">
      <c r="A6">
        <v>5</v>
      </c>
      <c r="B6" t="s">
        <v>12</v>
      </c>
      <c r="C6" t="s">
        <v>13</v>
      </c>
      <c r="D6" t="s">
        <v>23</v>
      </c>
      <c r="E6" t="s">
        <v>15</v>
      </c>
      <c r="F6" t="s">
        <v>24</v>
      </c>
      <c r="G6" s="2">
        <v>45810.591666666667</v>
      </c>
      <c r="H6" s="2">
        <v>45811</v>
      </c>
      <c r="J6">
        <f>ROUND((H6-G6)*24, 2)</f>
        <v>9.8000000000000007</v>
      </c>
      <c r="K6" t="str">
        <f>IF(H6="","Aberto","Fechado")</f>
        <v>Fechado</v>
      </c>
      <c r="L6" s="3" t="str">
        <f>IF(OR(ISBLANK(G6),ISBLANK(H6)),"",IF(H6&lt;G6,"Data inválida",
INT(H6-G6) &amp; " dias e " &amp; TEXT(H6-G6,"h") &amp; " horas"))</f>
        <v>0 dias e 9 horas</v>
      </c>
    </row>
    <row r="7" spans="1:12" x14ac:dyDescent="0.25">
      <c r="A7">
        <v>6</v>
      </c>
      <c r="B7" t="s">
        <v>12</v>
      </c>
      <c r="C7" t="s">
        <v>26</v>
      </c>
      <c r="E7" t="s">
        <v>27</v>
      </c>
      <c r="F7" t="s">
        <v>28</v>
      </c>
      <c r="G7" s="2">
        <v>45814.333333333336</v>
      </c>
      <c r="H7" s="2">
        <v>45827.363194444442</v>
      </c>
      <c r="I7" t="s">
        <v>29</v>
      </c>
      <c r="J7">
        <f>ROUND((H7-G7)*24, 2)</f>
        <v>312.72000000000003</v>
      </c>
      <c r="K7" t="str">
        <f>IF(H7="","Aberto","Fechado")</f>
        <v>Fechado</v>
      </c>
      <c r="L7" s="3" t="str">
        <f>IF(OR(ISBLANK(G7),ISBLANK(H7)),"",IF(H7&lt;G7,"Data inválida",
INT(H7-G7) &amp; " dias e " &amp; TEXT(H7-G7,"h") &amp; " horas"))</f>
        <v>13 dias e 0 horas</v>
      </c>
    </row>
    <row r="8" spans="1:12" x14ac:dyDescent="0.25">
      <c r="A8">
        <v>7</v>
      </c>
      <c r="B8" t="s">
        <v>12</v>
      </c>
      <c r="C8" t="s">
        <v>26</v>
      </c>
      <c r="E8" t="s">
        <v>30</v>
      </c>
      <c r="F8" t="s">
        <v>31</v>
      </c>
      <c r="G8" s="2">
        <v>45814.333333333336</v>
      </c>
      <c r="H8" s="2">
        <v>45814.572916666664</v>
      </c>
      <c r="I8" t="s">
        <v>32</v>
      </c>
      <c r="J8">
        <f>ROUND((H8-G8)*24, 2)</f>
        <v>5.75</v>
      </c>
      <c r="K8" t="str">
        <f>IF(H8="","Aberto","Fechado")</f>
        <v>Fechado</v>
      </c>
      <c r="L8" s="3" t="str">
        <f>IF(OR(ISBLANK(G8),ISBLANK(H8)),"",IF(H8&lt;G8,"Data inválida",
INT(H8-G8) &amp; " dias e " &amp; TEXT(H8-G8,"h") &amp; " horas"))</f>
        <v>0 dias e 5 horas</v>
      </c>
    </row>
    <row r="9" spans="1:12" x14ac:dyDescent="0.25">
      <c r="A9">
        <v>8</v>
      </c>
      <c r="B9" t="s">
        <v>12</v>
      </c>
      <c r="C9" t="s">
        <v>26</v>
      </c>
      <c r="E9" t="s">
        <v>30</v>
      </c>
      <c r="F9" t="s">
        <v>33</v>
      </c>
      <c r="G9" s="2">
        <v>45824.333333333336</v>
      </c>
      <c r="H9" s="2">
        <v>45825.620833333334</v>
      </c>
      <c r="I9" t="s">
        <v>34</v>
      </c>
      <c r="J9">
        <f>ROUND((H9-G9)*24, 2)</f>
        <v>30.9</v>
      </c>
      <c r="K9" t="str">
        <f>IF(H9="","Aberto","Fechado")</f>
        <v>Fechado</v>
      </c>
      <c r="L9" s="3" t="str">
        <f>IF(OR(ISBLANK(G9),ISBLANK(H9)),"",IF(H9&lt;G9,"Data inválida",
INT(H9-G9) &amp; " dias e " &amp; TEXT(H9-G9,"h") &amp; " horas"))</f>
        <v>1 dias e 6 horas</v>
      </c>
    </row>
    <row r="10" spans="1:12" x14ac:dyDescent="0.25">
      <c r="A10">
        <v>9</v>
      </c>
      <c r="B10" t="s">
        <v>12</v>
      </c>
      <c r="C10" t="s">
        <v>35</v>
      </c>
      <c r="E10" t="s">
        <v>36</v>
      </c>
      <c r="F10" t="s">
        <v>37</v>
      </c>
      <c r="G10" s="2">
        <v>45826.375</v>
      </c>
      <c r="H10" s="2">
        <v>45831.375</v>
      </c>
      <c r="I10" t="s">
        <v>38</v>
      </c>
      <c r="J10">
        <f>ROUND((H10-G10)*24, 2)</f>
        <v>120</v>
      </c>
      <c r="K10" t="str">
        <f>IF(H10="","Aberto","Fechado")</f>
        <v>Fechado</v>
      </c>
      <c r="L10" s="3" t="str">
        <f>IF(OR(ISBLANK(G10),ISBLANK(H10)),"",IF(H10&lt;G10,"Data inválida",
INT(H10-G10) &amp; " dias e " &amp; TEXT(H10-G10,"h") &amp; " horas"))</f>
        <v>5 dias e 0 horas</v>
      </c>
    </row>
    <row r="11" spans="1:12" x14ac:dyDescent="0.25">
      <c r="A11">
        <v>10</v>
      </c>
      <c r="B11" t="s">
        <v>12</v>
      </c>
      <c r="C11" t="s">
        <v>26</v>
      </c>
      <c r="E11" t="s">
        <v>27</v>
      </c>
      <c r="F11" t="s">
        <v>28</v>
      </c>
      <c r="G11" s="2">
        <v>45828.416666666664</v>
      </c>
      <c r="H11" s="2">
        <v>45829.729166666664</v>
      </c>
      <c r="I11" t="s">
        <v>39</v>
      </c>
      <c r="J11">
        <f>ROUND((H11-G11)*24, 2)</f>
        <v>31.5</v>
      </c>
      <c r="K11" t="str">
        <f>IF(H11="","Aberto","Fechado")</f>
        <v>Fechado</v>
      </c>
      <c r="L11" s="3" t="str">
        <f>IF(OR(ISBLANK(G11),ISBLANK(H11)),"",IF(H11&lt;G11,"Data inválida",
INT(H11-G11) &amp; " dias e " &amp; TEXT(H11-G11,"h") &amp; " horas"))</f>
        <v>1 dias e 7 horas</v>
      </c>
    </row>
    <row r="12" spans="1:12" x14ac:dyDescent="0.25">
      <c r="A12">
        <v>11</v>
      </c>
      <c r="B12" t="s">
        <v>12</v>
      </c>
      <c r="C12" t="s">
        <v>26</v>
      </c>
      <c r="E12" t="s">
        <v>30</v>
      </c>
      <c r="F12" t="s">
        <v>40</v>
      </c>
      <c r="G12" s="2">
        <v>45829.729166666664</v>
      </c>
      <c r="H12" s="2">
        <v>45831</v>
      </c>
      <c r="I12" t="s">
        <v>41</v>
      </c>
      <c r="J12">
        <f>ROUND((H12-G12)*24, 2)</f>
        <v>30.5</v>
      </c>
      <c r="K12" t="str">
        <f>IF(H12="","Aberto","Fechado")</f>
        <v>Fechado</v>
      </c>
      <c r="L12" s="3" t="str">
        <f>IF(OR(ISBLANK(G12),ISBLANK(H12)),"",IF(H12&lt;G12,"Data inválida",
INT(H12-G12) &amp; " dias e " &amp; TEXT(H12-G12,"h") &amp; " horas"))</f>
        <v>1 dias e 6 horas</v>
      </c>
    </row>
    <row r="13" spans="1:12" x14ac:dyDescent="0.25">
      <c r="A13">
        <v>12</v>
      </c>
      <c r="B13" t="s">
        <v>12</v>
      </c>
      <c r="C13" t="s">
        <v>26</v>
      </c>
      <c r="E13" t="s">
        <v>30</v>
      </c>
      <c r="F13" t="s">
        <v>40</v>
      </c>
      <c r="G13" s="2">
        <v>45829.729166666664</v>
      </c>
      <c r="H13" s="2">
        <v>45833.416666666664</v>
      </c>
      <c r="I13" t="s">
        <v>42</v>
      </c>
      <c r="J13">
        <f>ROUND((H13-G13)*24, 2)</f>
        <v>88.5</v>
      </c>
      <c r="K13" t="str">
        <f>IF(H13="","Aberto","Fechado")</f>
        <v>Fechado</v>
      </c>
      <c r="L13" s="3" t="str">
        <f>IF(OR(ISBLANK(G13),ISBLANK(H13)),"",IF(H13&lt;G13,"Data inválida",
INT(H13-G13) &amp; " dias e " &amp; TEXT(H13-G13,"h") &amp; " horas"))</f>
        <v>3 dias e 16 horas</v>
      </c>
    </row>
    <row r="14" spans="1:12" x14ac:dyDescent="0.25">
      <c r="A14">
        <v>13</v>
      </c>
      <c r="B14" t="s">
        <v>12</v>
      </c>
      <c r="C14" t="s">
        <v>26</v>
      </c>
      <c r="E14" t="s">
        <v>30</v>
      </c>
      <c r="F14" t="s">
        <v>33</v>
      </c>
      <c r="G14" s="2">
        <v>45839</v>
      </c>
      <c r="H14" s="2">
        <v>45841.402083333334</v>
      </c>
      <c r="I14" t="s">
        <v>43</v>
      </c>
      <c r="J14">
        <f>ROUND((H14-G14)*24, 2)</f>
        <v>57.65</v>
      </c>
      <c r="K14" t="str">
        <f>IF(H14="","Aberto","Fechado")</f>
        <v>Fechado</v>
      </c>
      <c r="L14" s="3" t="str">
        <f>IF(OR(ISBLANK(G14),ISBLANK(H14)),"",IF(H14&lt;G14,"Data inválida",
INT(H14-G14) &amp; " dias e " &amp; TEXT(H14-G14,"h") &amp; " horas"))</f>
        <v>2 dias e 9 horas</v>
      </c>
    </row>
    <row r="15" spans="1:12" x14ac:dyDescent="0.25">
      <c r="A15">
        <v>14</v>
      </c>
      <c r="B15" t="s">
        <v>12</v>
      </c>
      <c r="C15" t="s">
        <v>26</v>
      </c>
      <c r="E15" t="s">
        <v>30</v>
      </c>
      <c r="F15" t="s">
        <v>33</v>
      </c>
      <c r="G15" s="2">
        <v>45859.451388888891</v>
      </c>
      <c r="H15" s="2"/>
      <c r="I15" t="s">
        <v>44</v>
      </c>
      <c r="K15" t="str">
        <f>IF(H15="","Aberto","Fechado")</f>
        <v>Aberto</v>
      </c>
      <c r="L15" s="3" t="str">
        <f>IF(OR(ISBLANK(G15),ISBLANK(H15)),"",IF(H15&lt;G15,"Data inválida",
INT(H15-G15) &amp; " dias e " &amp; TEXT(H15-G15,"h") &amp; " horas"))</f>
        <v/>
      </c>
    </row>
    <row r="16" spans="1:12" x14ac:dyDescent="0.25">
      <c r="A16">
        <v>15</v>
      </c>
      <c r="B16" t="s">
        <v>12</v>
      </c>
      <c r="C16" t="s">
        <v>26</v>
      </c>
      <c r="E16" t="s">
        <v>30</v>
      </c>
      <c r="F16" t="s">
        <v>33</v>
      </c>
      <c r="G16" s="2">
        <v>45881.333333333336</v>
      </c>
      <c r="H16" s="2">
        <v>45895.470833333333</v>
      </c>
      <c r="I16" t="s">
        <v>45</v>
      </c>
      <c r="J16">
        <f>ROUND((H16-G16)*24, 2)</f>
        <v>339.3</v>
      </c>
      <c r="K16" t="str">
        <f>IF(H16="","Aberto","Fechado")</f>
        <v>Fechado</v>
      </c>
      <c r="L16" s="3" t="str">
        <f>IF(OR(ISBLANK(G16),ISBLANK(H16)),"",IF(H16&lt;G16,"Data inválida",
INT(H16-G16) &amp; " dias e " &amp; TEXT(H16-G16,"h") &amp; " horas"))</f>
        <v>14 dias e 3 horas</v>
      </c>
    </row>
    <row r="17" spans="1:12" x14ac:dyDescent="0.25">
      <c r="A17">
        <v>16</v>
      </c>
      <c r="B17" t="s">
        <v>12</v>
      </c>
      <c r="C17" t="s">
        <v>13</v>
      </c>
      <c r="E17" t="s">
        <v>46</v>
      </c>
      <c r="F17" t="s">
        <v>47</v>
      </c>
      <c r="G17" s="2">
        <v>45881.5625</v>
      </c>
      <c r="H17" s="2">
        <v>45883.291666666664</v>
      </c>
      <c r="I17" t="s">
        <v>48</v>
      </c>
      <c r="J17">
        <f>ROUND((H17-G17)*24, 2)</f>
        <v>41.5</v>
      </c>
      <c r="K17" t="str">
        <f>IF(H17="","Aberto","Fechado")</f>
        <v>Fechado</v>
      </c>
      <c r="L17" s="3" t="str">
        <f>IF(OR(ISBLANK(G17),ISBLANK(H17)),"",IF(H17&lt;G17,"Data inválida",
INT(H17-G17) &amp; " dias e " &amp; TEXT(H17-G17,"h") &amp; " horas"))</f>
        <v>1 dias e 17 horas</v>
      </c>
    </row>
    <row r="18" spans="1:12" x14ac:dyDescent="0.25">
      <c r="A18">
        <v>17</v>
      </c>
      <c r="B18" t="s">
        <v>12</v>
      </c>
      <c r="C18" t="s">
        <v>26</v>
      </c>
      <c r="E18" t="s">
        <v>30</v>
      </c>
      <c r="F18" t="s">
        <v>31</v>
      </c>
      <c r="G18" s="2">
        <v>45884.333333333336</v>
      </c>
      <c r="H18" s="2">
        <v>45887.75</v>
      </c>
      <c r="I18" t="s">
        <v>49</v>
      </c>
      <c r="J18">
        <f>ROUND((H18-G18)*24, 2)</f>
        <v>82</v>
      </c>
      <c r="K18" t="str">
        <f>IF(H18="","Aberto","Fechado")</f>
        <v>Fechado</v>
      </c>
      <c r="L18" s="3" t="str">
        <f>IF(OR(ISBLANK(G18),ISBLANK(H18)),"",IF(H18&lt;G18,"Data inválida",
INT(H18-G18) &amp; " dias e " &amp; TEXT(H18-G18,"h") &amp; " horas"))</f>
        <v>3 dias e 10 horas</v>
      </c>
    </row>
    <row r="19" spans="1:12" x14ac:dyDescent="0.25">
      <c r="A19">
        <v>22</v>
      </c>
      <c r="B19" t="s">
        <v>12</v>
      </c>
      <c r="C19" t="s">
        <v>26</v>
      </c>
      <c r="E19" t="s">
        <v>30</v>
      </c>
      <c r="F19" t="s">
        <v>40</v>
      </c>
      <c r="G19" s="2">
        <v>45884.708333333336</v>
      </c>
      <c r="H19" s="2">
        <v>45940.583333333336</v>
      </c>
      <c r="I19" t="s">
        <v>57</v>
      </c>
      <c r="J19">
        <f>ROUND((H19-G19)*24, 2)</f>
        <v>1341</v>
      </c>
      <c r="K19" t="str">
        <f>IF(H19="","Aberto","Fechado")</f>
        <v>Fechado</v>
      </c>
      <c r="L19" s="3" t="str">
        <f>IF(OR(ISBLANK(G19),ISBLANK(H19)),"",IF(H19&lt;G19,"Data inválida",
INT(H19-G19) &amp; " dias e " &amp; TEXT(H19-G19,"h") &amp; " horas"))</f>
        <v>55 dias e 21 horas</v>
      </c>
    </row>
    <row r="20" spans="1:12" x14ac:dyDescent="0.25">
      <c r="A20">
        <v>18</v>
      </c>
      <c r="B20" t="s">
        <v>12</v>
      </c>
      <c r="C20" t="s">
        <v>50</v>
      </c>
      <c r="E20" t="s">
        <v>51</v>
      </c>
      <c r="F20" t="s">
        <v>52</v>
      </c>
      <c r="G20" s="2">
        <v>45888.375</v>
      </c>
      <c r="H20" s="2">
        <v>45910.625</v>
      </c>
      <c r="I20" t="s">
        <v>53</v>
      </c>
      <c r="J20">
        <f>ROUND((H20-G20)*24, 2)</f>
        <v>534</v>
      </c>
      <c r="K20" t="str">
        <f>IF(H20="","Aberto","Fechado")</f>
        <v>Fechado</v>
      </c>
      <c r="L20" s="3" t="str">
        <f>IF(OR(ISBLANK(G20),ISBLANK(H20)),"",IF(H20&lt;G20,"Data inválida",
INT(H20-G20) &amp; " dias e " &amp; TEXT(H20-G20,"h") &amp; " horas"))</f>
        <v>22 dias e 6 horas</v>
      </c>
    </row>
    <row r="21" spans="1:12" x14ac:dyDescent="0.25">
      <c r="A21">
        <v>19</v>
      </c>
      <c r="B21" t="s">
        <v>12</v>
      </c>
      <c r="C21" t="s">
        <v>26</v>
      </c>
      <c r="E21" t="s">
        <v>30</v>
      </c>
      <c r="F21" t="s">
        <v>33</v>
      </c>
      <c r="G21" s="2">
        <v>45902.375</v>
      </c>
      <c r="H21" s="2">
        <v>45907.291666666664</v>
      </c>
      <c r="I21" t="s">
        <v>54</v>
      </c>
      <c r="J21">
        <f>ROUND((H21-G21)*24, 2)</f>
        <v>118</v>
      </c>
      <c r="K21" t="str">
        <f>IF(H21="","Aberto","Fechado")</f>
        <v>Fechado</v>
      </c>
      <c r="L21" s="3" t="str">
        <f>IF(OR(ISBLANK(G21),ISBLANK(H21)),"",IF(H21&lt;G21,"Data inválida",
INT(H21-G21) &amp; " dias e " &amp; TEXT(H21-G21,"h") &amp; " horas"))</f>
        <v>4 dias e 22 horas</v>
      </c>
    </row>
    <row r="22" spans="1:12" ht="15" customHeight="1" x14ac:dyDescent="0.25">
      <c r="A22">
        <v>20</v>
      </c>
      <c r="B22" t="s">
        <v>12</v>
      </c>
      <c r="C22" t="s">
        <v>26</v>
      </c>
      <c r="E22" t="s">
        <v>30</v>
      </c>
      <c r="F22" t="s">
        <v>33</v>
      </c>
      <c r="G22" s="2">
        <v>45908.432638888888</v>
      </c>
      <c r="H22" s="2">
        <v>45916.4375</v>
      </c>
      <c r="I22" t="s">
        <v>55</v>
      </c>
      <c r="J22">
        <f>ROUND((H22-G22)*24, 2)</f>
        <v>192.12</v>
      </c>
      <c r="K22" t="str">
        <f>IF(H22="","Aberto","Fechado")</f>
        <v>Fechado</v>
      </c>
      <c r="L22" s="3" t="str">
        <f>IF(OR(ISBLANK(G22),ISBLANK(H22)),"",IF(H22&lt;G22,"Data inválida",
INT(H22-G22) &amp; " dias e " &amp; TEXT(H22-G22,"h") &amp; " horas"))</f>
        <v>8 dias e 0 horas</v>
      </c>
    </row>
    <row r="23" spans="1:12" ht="15" customHeight="1" x14ac:dyDescent="0.25">
      <c r="A23">
        <v>21</v>
      </c>
      <c r="B23" t="s">
        <v>12</v>
      </c>
      <c r="C23" t="s">
        <v>26</v>
      </c>
      <c r="E23" t="s">
        <v>27</v>
      </c>
      <c r="F23" t="s">
        <v>28</v>
      </c>
      <c r="G23" s="2">
        <v>45924.333333333336</v>
      </c>
      <c r="H23" s="2">
        <v>45945.333333333336</v>
      </c>
      <c r="I23" s="6" t="s">
        <v>56</v>
      </c>
      <c r="J23">
        <f>ROUND((H23-G23)*24, 2)</f>
        <v>504</v>
      </c>
      <c r="K23" t="str">
        <f>IF(H23="","Aberto","Fechado")</f>
        <v>Fechado</v>
      </c>
      <c r="L23" s="3" t="str">
        <f>IF(OR(ISBLANK(G23),ISBLANK(H23)),"",IF(H23&lt;G23,"Data inválida",
INT(H23-G23) &amp; " dias e " &amp; TEXT(H23-G23,"h") &amp; " horas"))</f>
        <v>21 dias e 0 horas</v>
      </c>
    </row>
    <row r="24" spans="1:12" ht="15" customHeight="1" x14ac:dyDescent="0.25">
      <c r="A24">
        <v>23</v>
      </c>
      <c r="B24" t="s">
        <v>12</v>
      </c>
      <c r="C24" t="s">
        <v>13</v>
      </c>
      <c r="E24" t="s">
        <v>36</v>
      </c>
      <c r="F24" t="s">
        <v>58</v>
      </c>
      <c r="G24" s="2">
        <v>45940.3125</v>
      </c>
      <c r="H24" s="2">
        <v>45944.3125</v>
      </c>
      <c r="I24" t="s">
        <v>59</v>
      </c>
      <c r="J24">
        <f>ROUND((H24-G24)*24, 2)</f>
        <v>96</v>
      </c>
      <c r="K24" t="str">
        <f>IF(H24="","Aberto","Fechado")</f>
        <v>Fechado</v>
      </c>
      <c r="L24" s="3" t="str">
        <f>IF(OR(ISBLANK(G24),ISBLANK(H24)),"",IF(H24&lt;G24,"Data inválida",
INT(H24-G24) &amp; " dias e " &amp; TEXT(H24-G24,"h") &amp; " horas"))</f>
        <v>4 dias e 0 horas</v>
      </c>
    </row>
    <row r="25" spans="1:12" ht="15" customHeight="1" x14ac:dyDescent="0.25">
      <c r="A25">
        <v>24</v>
      </c>
      <c r="B25" t="s">
        <v>12</v>
      </c>
      <c r="C25" t="s">
        <v>26</v>
      </c>
      <c r="E25" t="s">
        <v>30</v>
      </c>
      <c r="F25" t="s">
        <v>40</v>
      </c>
      <c r="G25" s="2">
        <v>45947.708333333336</v>
      </c>
      <c r="H25" s="2">
        <v>45961.729166666664</v>
      </c>
      <c r="I25" s="7" t="s">
        <v>60</v>
      </c>
      <c r="J25">
        <f>ROUND((H25-G25)*24, 2)</f>
        <v>336.5</v>
      </c>
      <c r="K25" t="str">
        <f>IF(H25="","Aberto","Fechado")</f>
        <v>Fechado</v>
      </c>
      <c r="L25" s="3" t="str">
        <f>IF(OR(ISBLANK(G25),ISBLANK(H25)),"",IF(H25&lt;G25,"Data inválida",
INT(H25-G25) &amp; " dias e " &amp; TEXT(H25-G25,"h") &amp; " horas"))</f>
        <v>14 dias e 0 horas</v>
      </c>
    </row>
    <row r="26" spans="1:12" ht="15" customHeight="1" x14ac:dyDescent="0.25">
      <c r="A26">
        <v>25</v>
      </c>
      <c r="B26" t="s">
        <v>12</v>
      </c>
      <c r="C26" t="s">
        <v>26</v>
      </c>
      <c r="E26" t="s">
        <v>30</v>
      </c>
      <c r="F26" t="s">
        <v>40</v>
      </c>
      <c r="G26" s="2">
        <v>45965.708333333336</v>
      </c>
      <c r="H26" s="2"/>
      <c r="I26" t="s">
        <v>61</v>
      </c>
      <c r="J26">
        <f>ROUND((H26-G26)*24, 2)</f>
        <v>-1103177</v>
      </c>
      <c r="K26" t="str">
        <f>IF(H26="","Aberto","Fechado")</f>
        <v>Aberto</v>
      </c>
      <c r="L26" s="3" t="str">
        <f>IF(OR(ISBLANK(G26),ISBLANK(H26)),"",IF(H26&lt;G26,"Data inválida",
INT(H26-G26) &amp; " dias e " &amp; TEXT(H26-G26,"h") &amp; " horas"))</f>
        <v/>
      </c>
    </row>
    <row r="27" spans="1:12" ht="15" customHeight="1" x14ac:dyDescent="0.25">
      <c r="C27" s="6"/>
      <c r="G27" s="2"/>
      <c r="H27" s="2"/>
      <c r="J27">
        <f>ROUND((H27-G27)*24, 2)</f>
        <v>0</v>
      </c>
      <c r="L27" s="3" t="str">
        <f>IF(OR(ISBLANK(G27),ISBLANK(H27)),"",IF(H27&lt;G27,"Data inválida",
INT(H27-G27) &amp; " dias e " &amp; TEXT(H27-G27,"h") &amp; " horas"))</f>
        <v/>
      </c>
    </row>
    <row r="28" spans="1:12" ht="15" customHeight="1" x14ac:dyDescent="0.25">
      <c r="G28" s="2"/>
      <c r="H28" s="2"/>
      <c r="J28">
        <f>ROUND((H28-G28)*24, 2)</f>
        <v>0</v>
      </c>
      <c r="L28" s="3" t="str">
        <f>IF(OR(ISBLANK(G28),ISBLANK(H28)),"",IF(H28&lt;G28,"Data inválida",
INT(H28-G28) &amp; " dias e " &amp; TEXT(H28-G28,"h") &amp; " horas"))</f>
        <v/>
      </c>
    </row>
    <row r="29" spans="1:12" ht="15" customHeight="1" x14ac:dyDescent="0.25">
      <c r="G29" s="2"/>
      <c r="H29" s="2"/>
      <c r="J29">
        <f>ROUND((H29-G29)*24, 2)</f>
        <v>0</v>
      </c>
      <c r="L29" s="3" t="str">
        <f>IF(OR(ISBLANK(G29),ISBLANK(H29)),"",IF(H29&lt;G29,"Data inválida",
INT(H29-G29) &amp; " dias e " &amp; TEXT(H29-G29,"h") &amp; " horas"))</f>
        <v/>
      </c>
    </row>
  </sheetData>
  <pageMargins left="0.75" right="0.75" top="1" bottom="1" header="0.5" footer="0.5"/>
  <pageSetup paperSize="9" orientation="portrait"/>
  <headerFooter>
    <oddFooter>&amp;L_x000D_&amp;1#&amp;"Trebuchet MS"&amp;9&amp;K737373 PÚBLICA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8cfadf-81ba-4bd2-9020-6bf4b476ac98" xsi:nil="true"/>
    <_Flow_SignoffStatus xmlns="cb4a64bd-25af-446c-a7d9-624a11665c21" xsi:nil="true"/>
    <lcf76f155ced4ddcb4097134ff3c332f xmlns="cb4a64bd-25af-446c-a7d9-624a11665c2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C9F2CDDD53004FA169AAF06D8BCDB1" ma:contentTypeVersion="17" ma:contentTypeDescription="Crie um novo documento." ma:contentTypeScope="" ma:versionID="ab4e338aaf0ceeaf71eb2b7c98ae44da">
  <xsd:schema xmlns:xsd="http://www.w3.org/2001/XMLSchema" xmlns:xs="http://www.w3.org/2001/XMLSchema" xmlns:p="http://schemas.microsoft.com/office/2006/metadata/properties" xmlns:ns2="078cfadf-81ba-4bd2-9020-6bf4b476ac98" xmlns:ns3="cb4a64bd-25af-446c-a7d9-624a11665c21" targetNamespace="http://schemas.microsoft.com/office/2006/metadata/properties" ma:root="true" ma:fieldsID="bcf621d8f01fed9f18869ee314258549" ns2:_="" ns3:_="">
    <xsd:import namespace="078cfadf-81ba-4bd2-9020-6bf4b476ac98"/>
    <xsd:import namespace="cb4a64bd-25af-446c-a7d9-624a11665c2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cfadf-81ba-4bd2-9020-6bf4b476ac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2f4eace-fa82-45a6-aac2-07bef6fa2689}" ma:internalName="TaxCatchAll" ma:showField="CatchAllData" ma:web="078cfadf-81ba-4bd2-9020-6bf4b476a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a64bd-25af-446c-a7d9-624a11665c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66a8fd-94ed-4d49-8999-3a54f140f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5248A8-5A8E-4D16-9204-5EE5D7659F2B}">
  <ds:schemaRefs>
    <ds:schemaRef ds:uri="http://schemas.microsoft.com/office/2006/metadata/properties"/>
    <ds:schemaRef ds:uri="http://schemas.microsoft.com/office/infopath/2007/PartnerControls"/>
    <ds:schemaRef ds:uri="078cfadf-81ba-4bd2-9020-6bf4b476ac98"/>
    <ds:schemaRef ds:uri="cb4a64bd-25af-446c-a7d9-624a11665c21"/>
  </ds:schemaRefs>
</ds:datastoreItem>
</file>

<file path=customXml/itemProps2.xml><?xml version="1.0" encoding="utf-8"?>
<ds:datastoreItem xmlns:ds="http://schemas.openxmlformats.org/officeDocument/2006/customXml" ds:itemID="{35B675CD-1EC9-4DA2-BA9F-4B0707BD1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8cfadf-81ba-4bd2-9020-6bf4b476ac98"/>
    <ds:schemaRef ds:uri="cb4a64bd-25af-446c-a7d9-624a11665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0AFD69-4D1C-46C2-B506-AA5B8655C29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Paulo Roberto Ferreira Dias - PrestServ</cp:lastModifiedBy>
  <cp:revision>4</cp:revision>
  <dcterms:created xsi:type="dcterms:W3CDTF">2025-09-08T13:48:03Z</dcterms:created>
  <dcterms:modified xsi:type="dcterms:W3CDTF">2025-11-10T15:24:01Z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0x01010066C9F2CDDD53004FA169AAF06D8BCDB1</vt:lpwstr>
  </property>
  <property fmtid="{D5CDD505-2E9C-101B-9397-08002B2CF9AE}" pid="3" name="MediaServiceImageTags">
    <vt:lpwstr/>
  </property>
</Properties>
</file>